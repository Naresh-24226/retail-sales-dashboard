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eba133c2df119f/Desktop/new folder/"/>
    </mc:Choice>
  </mc:AlternateContent>
  <xr:revisionPtr revIDLastSave="41" documentId="8_{9C07FE7B-A32B-4CDE-BB96-6B3CE9ADA23E}" xr6:coauthVersionLast="47" xr6:coauthVersionMax="47" xr10:uidLastSave="{D5C6FC63-7199-4D06-8001-9A83822564EA}"/>
  <bookViews>
    <workbookView xWindow="-108" yWindow="-108" windowWidth="23256" windowHeight="13176" xr2:uid="{CCCE0188-07A5-4863-83A1-28FD0823024B}"/>
  </bookViews>
  <sheets>
    <sheet name="Customers" sheetId="1" r:id="rId1"/>
    <sheet name="Products" sheetId="2" r:id="rId2"/>
    <sheet name="Orders" sheetId="3" r:id="rId3"/>
    <sheet name="Records" sheetId="4" r:id="rId4"/>
    <sheet name="Analysis" sheetId="6" r:id="rId5"/>
  </sheet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3" l="1"/>
  <c r="M7" i="3"/>
  <c r="M9" i="3"/>
  <c r="M12" i="3"/>
  <c r="M11" i="3"/>
  <c r="M10" i="3"/>
  <c r="C13" i="2"/>
  <c r="C14" i="1"/>
  <c r="M8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<sst xmlns="http://schemas.openxmlformats.org/spreadsheetml/2006/main" count="172" uniqueCount="101">
  <si>
    <t>customer_name</t>
  </si>
  <si>
    <t>age</t>
  </si>
  <si>
    <t>gender</t>
  </si>
  <si>
    <t>city</t>
  </si>
  <si>
    <t>state</t>
  </si>
  <si>
    <t>customer_type</t>
  </si>
  <si>
    <t>signup_date</t>
  </si>
  <si>
    <t>Arun Kumar</t>
  </si>
  <si>
    <t>Male</t>
  </si>
  <si>
    <t>Chennai</t>
  </si>
  <si>
    <t>Tamil Nadu</t>
  </si>
  <si>
    <t>Regular</t>
  </si>
  <si>
    <t>Priya Sharma</t>
  </si>
  <si>
    <t>Female</t>
  </si>
  <si>
    <t>Coimbatore</t>
  </si>
  <si>
    <t>Premium</t>
  </si>
  <si>
    <t>Kavin Raj</t>
  </si>
  <si>
    <t>Madurai</t>
  </si>
  <si>
    <t>Sneha Iyer</t>
  </si>
  <si>
    <t>Bangalore</t>
  </si>
  <si>
    <t>Karnataka</t>
  </si>
  <si>
    <t>Rahul Verma</t>
  </si>
  <si>
    <t>Hyderabad</t>
  </si>
  <si>
    <t>Telangana</t>
  </si>
  <si>
    <t>Divya Nair</t>
  </si>
  <si>
    <t>Kochi</t>
  </si>
  <si>
    <t>Kerala</t>
  </si>
  <si>
    <t>Vignesh S</t>
  </si>
  <si>
    <t>Salem</t>
  </si>
  <si>
    <t>Aarthi R</t>
  </si>
  <si>
    <t>Trichy</t>
  </si>
  <si>
    <t>Mohan Das</t>
  </si>
  <si>
    <t>Erode</t>
  </si>
  <si>
    <t>Keerthana P</t>
  </si>
  <si>
    <t>customer_id</t>
  </si>
  <si>
    <t>product_id</t>
  </si>
  <si>
    <t>product_name</t>
  </si>
  <si>
    <t>category</t>
  </si>
  <si>
    <t>sub_category</t>
  </si>
  <si>
    <t>selling_price</t>
  </si>
  <si>
    <t>stock_quantity</t>
  </si>
  <si>
    <t>iPhone 14</t>
  </si>
  <si>
    <t>Electronics</t>
  </si>
  <si>
    <t>Mobile</t>
  </si>
  <si>
    <t>Dell Inspiron</t>
  </si>
  <si>
    <t>Laptop</t>
  </si>
  <si>
    <t>Galaxy Tab</t>
  </si>
  <si>
    <t>Tablet</t>
  </si>
  <si>
    <t>Office Chair</t>
  </si>
  <si>
    <t>Furniture</t>
  </si>
  <si>
    <t>Chair</t>
  </si>
  <si>
    <t>Smart Watch</t>
  </si>
  <si>
    <t>Wearable</t>
  </si>
  <si>
    <t>Running Shoes</t>
  </si>
  <si>
    <t>Accessories</t>
  </si>
  <si>
    <t>Footwear</t>
  </si>
  <si>
    <t>Study Table</t>
  </si>
  <si>
    <t>Table</t>
  </si>
  <si>
    <t>Travel Backpack</t>
  </si>
  <si>
    <t>Bags</t>
  </si>
  <si>
    <t>Formal Shirt</t>
  </si>
  <si>
    <t>Clothing</t>
  </si>
  <si>
    <t>Men Wear</t>
  </si>
  <si>
    <t>Boat Rockerz</t>
  </si>
  <si>
    <t>Audio</t>
  </si>
  <si>
    <t>order_id</t>
  </si>
  <si>
    <t>order_date</t>
  </si>
  <si>
    <t>quantity</t>
  </si>
  <si>
    <t>sales</t>
  </si>
  <si>
    <t>profit</t>
  </si>
  <si>
    <t>discount</t>
  </si>
  <si>
    <t>payment_mode</t>
  </si>
  <si>
    <t>delivery_status</t>
  </si>
  <si>
    <t>UPI</t>
  </si>
  <si>
    <t>Delivered</t>
  </si>
  <si>
    <t>Card</t>
  </si>
  <si>
    <t>Cash</t>
  </si>
  <si>
    <t>Returned</t>
  </si>
  <si>
    <t>return_id</t>
  </si>
  <si>
    <t>return_date</t>
  </si>
  <si>
    <t>return_reason</t>
  </si>
  <si>
    <t>Wrong Product</t>
  </si>
  <si>
    <t>Size Issue</t>
  </si>
  <si>
    <t>Damaged Product</t>
  </si>
  <si>
    <t>Total_Sales</t>
  </si>
  <si>
    <t>Total_Profit</t>
  </si>
  <si>
    <t>Total_Quantity</t>
  </si>
  <si>
    <t>Highest_Sales</t>
  </si>
  <si>
    <t>Highest_Profit</t>
  </si>
  <si>
    <t>Lowest_Sales</t>
  </si>
  <si>
    <t>Lowest_Profit</t>
  </si>
  <si>
    <t>Total_Orders</t>
  </si>
  <si>
    <t>Total_Customers</t>
  </si>
  <si>
    <t>Total_Products</t>
  </si>
  <si>
    <t>UPI_Sales</t>
  </si>
  <si>
    <t>Cash_Sales</t>
  </si>
  <si>
    <t>Card_Sales</t>
  </si>
  <si>
    <t>Returned_Orders</t>
  </si>
  <si>
    <t>Row Labels</t>
  </si>
  <si>
    <t>Grand Total</t>
  </si>
  <si>
    <t>Sum of 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</si>
</sst>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[Retail_and_Sales.xlsx]Analysis!PivotTable1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f>Analysis!$B$2:$B$6</c:f>
              <c:numCache>
                <c:formatCode>General</c:formatCode>
                <c:ptCount val="4"/>
                <c:pt idx="0">
                  <c:v>7000</c:v>
                </c:pt>
                <c:pt idx="1">
                  <c:v>1800</c:v>
                </c:pt>
                <c:pt idx="2">
                  <c:v>180000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B-4A74-B459-8C3256CB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517871"/>
        <c:axId val="447520271"/>
      </c:barChart>
      <c:catAx>
        <c:axId val="44751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520271"/>
        <c:crosses val="autoZero"/>
        <c:auto val="1"/>
        <c:lblAlgn val="ctr"/>
        <c:lblOffset val="100"/>
        <c:noMultiLvlLbl val="0"/>
      </c:catAx>
      <c:valAx>
        <c:axId val="4475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51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30480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EBB06-22E5-7BFE-B895-513B006BD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ESH" refreshedDate="46153.795625462961" createdVersion="8" refreshedVersion="8" minRefreshableVersion="3" recordCount="10" xr:uid="{BC777E10-EA78-4614-817D-8F6C37CDD134}">
  <cacheSource type="worksheet">
    <worksheetSource name="Table2"/>
  </cacheSource>
  <cacheFields count="6">
    <cacheField name="product_id" numFmtId="0">
      <sharedItems containsSemiMixedTypes="0" containsString="0" containsNumber="1" containsInteger="1" minValue="101" maxValue="110"/>
    </cacheField>
    <cacheField name="product_name" numFmtId="0">
      <sharedItems/>
    </cacheField>
    <cacheField name="category" numFmtId="0">
      <sharedItems count="4">
        <s v="Electronics"/>
        <s v="Furniture"/>
        <s v="Accessories"/>
        <s v="Clothing"/>
      </sharedItems>
    </cacheField>
    <cacheField name="sub_category" numFmtId="0">
      <sharedItems/>
    </cacheField>
    <cacheField name="selling_price" numFmtId="0">
      <sharedItems containsSemiMixedTypes="0" containsString="0" containsNumber="1" containsInteger="1" minValue="1800" maxValue="75000"/>
    </cacheField>
    <cacheField name="stock_quantity" numFmtId="0">
      <sharedItems containsSemiMixedTypes="0" containsString="0" containsNumber="1" containsInteger="1" minValue="3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iPhone 14"/>
    <x v="0"/>
    <s v="Mobile"/>
    <n v="75000"/>
    <n v="50"/>
  </r>
  <r>
    <n v="102"/>
    <s v="Dell Inspiron"/>
    <x v="0"/>
    <s v="Laptop"/>
    <n v="55000"/>
    <n v="40"/>
  </r>
  <r>
    <n v="103"/>
    <s v="Galaxy Tab"/>
    <x v="0"/>
    <s v="Tablet"/>
    <n v="35000"/>
    <n v="30"/>
  </r>
  <r>
    <n v="104"/>
    <s v="Office Chair"/>
    <x v="1"/>
    <s v="Chair"/>
    <n v="8000"/>
    <n v="100"/>
  </r>
  <r>
    <n v="105"/>
    <s v="Smart Watch"/>
    <x v="0"/>
    <s v="Wearable"/>
    <n v="12000"/>
    <n v="60"/>
  </r>
  <r>
    <n v="106"/>
    <s v="Running Shoes"/>
    <x v="2"/>
    <s v="Footwear"/>
    <n v="4500"/>
    <n v="120"/>
  </r>
  <r>
    <n v="107"/>
    <s v="Study Table"/>
    <x v="1"/>
    <s v="Table"/>
    <n v="7000"/>
    <n v="80"/>
  </r>
  <r>
    <n v="108"/>
    <s v="Travel Backpack"/>
    <x v="2"/>
    <s v="Bags"/>
    <n v="2500"/>
    <n v="150"/>
  </r>
  <r>
    <n v="109"/>
    <s v="Formal Shirt"/>
    <x v="3"/>
    <s v="Men Wear"/>
    <n v="1800"/>
    <n v="200"/>
  </r>
  <r>
    <n v="110"/>
    <s v="Boat Rockerz"/>
    <x v="0"/>
    <s v="Audio"/>
    <n v="3000"/>
    <n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A63AB-451F-4BDA-9026-836837570A2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6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elling_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797D8-8EAB-49AC-BB10-9B942F3CCD32}" name="Table1" displayName="Table1" ref="A1:H11" totalsRowShown="0" headerRowDxfId="37" dataDxfId="36">
  <autoFilter ref="A1:H11" xr:uid="{D9D797D8-8EAB-49AC-BB10-9B942F3CCD32}"/>
  <tableColumns count="8">
    <tableColumn id="1" xr3:uid="{8C64AD49-3D60-4B3C-A6EF-40E547A5EC27}" name="customer_id" dataDxfId="35"/>
    <tableColumn id="2" xr3:uid="{9A9DAAB7-C148-43D7-8A14-401B32E16AB2}" name="customer_name" dataDxfId="34"/>
    <tableColumn id="3" xr3:uid="{5B69D252-C2FE-4AC8-8FCA-F7752F9BC8AD}" name="age" dataDxfId="33"/>
    <tableColumn id="4" xr3:uid="{3A1974EC-53FD-4DCE-95AA-00F2A65A991B}" name="gender" dataDxfId="32"/>
    <tableColumn id="5" xr3:uid="{EFEDF59D-D210-4935-B83E-330ED0B921E8}" name="city" dataDxfId="31"/>
    <tableColumn id="6" xr3:uid="{13A12D73-28CA-4735-B59A-99DD8766ADD3}" name="state" dataDxfId="30"/>
    <tableColumn id="7" xr3:uid="{CB182F63-6938-4693-8B76-6C35EB4D8035}" name="customer_type" dataDxfId="29"/>
    <tableColumn id="8" xr3:uid="{D255A26F-782C-4CCA-B826-AED46CDE64CE}" name="signup_date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E00BB-4FDE-4007-846A-4CB433E91A11}" name="Table2" displayName="Table2" ref="A1:F11" totalsRowShown="0" headerRowDxfId="27" dataDxfId="26">
  <autoFilter ref="A1:F11" xr:uid="{E82E00BB-4FDE-4007-846A-4CB433E91A11}"/>
  <tableColumns count="6">
    <tableColumn id="1" xr3:uid="{3E808A71-C721-474E-9050-03E487174E97}" name="product_id" dataDxfId="25"/>
    <tableColumn id="2" xr3:uid="{E1E0C768-DFA5-475C-8F33-995304042351}" name="product_name" dataDxfId="24"/>
    <tableColumn id="3" xr3:uid="{38617B6E-3BAB-4D55-97FE-8F352B89EA67}" name="category" dataDxfId="23"/>
    <tableColumn id="4" xr3:uid="{F862F2AC-E65D-4844-B70E-9200ADA27AD7}" name="sub_category" dataDxfId="22"/>
    <tableColumn id="5" xr3:uid="{3FB6F6A6-C6FB-4B81-A9A5-AC57766A81B7}" name="selling_price" dataDxfId="21"/>
    <tableColumn id="6" xr3:uid="{5EF969CE-6984-4F96-A2B9-0DACCFD8F731}" name="stock_quantity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7EC9CD-9A55-49D5-B7EA-11FDBFB45943}" name="Table3" displayName="Table3" ref="A1:J21" totalsRowShown="0" headerRowDxfId="19" dataDxfId="17" headerRowBorderDxfId="18">
  <autoFilter ref="A1:J21" xr:uid="{447EC9CD-9A55-49D5-B7EA-11FDBFB45943}"/>
  <tableColumns count="10">
    <tableColumn id="1" xr3:uid="{AB50E05E-B19B-4B11-8E81-DBE90AA427DC}" name="order_id" dataDxfId="16"/>
    <tableColumn id="2" xr3:uid="{4652FD10-29EC-4079-BA17-78CB1F765CB0}" name="customer_id" dataDxfId="15"/>
    <tableColumn id="3" xr3:uid="{667DB23A-EE92-4AB1-9FA1-5FAB5DFD0038}" name="product_id" dataDxfId="14"/>
    <tableColumn id="4" xr3:uid="{5EED4E3A-1530-4B2D-BD6A-72EEB949FAF7}" name="order_date" dataDxfId="13"/>
    <tableColumn id="5" xr3:uid="{60F83E3E-9765-4285-8ABA-949764EF6CE7}" name="quantity" dataDxfId="12"/>
    <tableColumn id="6" xr3:uid="{272D7265-B655-4F00-A82E-D01834AF205A}" name="sales" dataDxfId="11"/>
    <tableColumn id="7" xr3:uid="{FAC74E96-9113-484E-8E75-2D4E9318DAEE}" name="profit" dataDxfId="10"/>
    <tableColumn id="8" xr3:uid="{ABE41074-AA8A-489F-BB4B-F8B863F6DF08}" name="discount" dataDxfId="9"/>
    <tableColumn id="9" xr3:uid="{75AD3455-3037-4D3D-8336-D749F95797BC}" name="payment_mode" dataDxfId="8"/>
    <tableColumn id="10" xr3:uid="{D28823CE-5D9E-4D9C-B18B-B50BD6F2033E}" name="delivery_status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FE7C30-2999-43F2-A4E1-455F5AD98ACF}" name="Table4" displayName="Table4" ref="A1:D4" totalsRowShown="0" headerRowDxfId="6" dataDxfId="4" headerRowBorderDxfId="5">
  <autoFilter ref="A1:D4" xr:uid="{EBFE7C30-2999-43F2-A4E1-455F5AD98ACF}"/>
  <tableColumns count="4">
    <tableColumn id="1" xr3:uid="{89B39E05-5AF1-4924-B8E9-69677CD7A86F}" name="return_id" dataDxfId="3"/>
    <tableColumn id="2" xr3:uid="{2244E100-730D-45B5-AC76-C37CBD598434}" name="order_id" dataDxfId="2"/>
    <tableColumn id="3" xr3:uid="{2547BAAC-66B6-4D0A-8469-99118EDDAD93}" name="return_date" dataDxfId="1"/>
    <tableColumn id="4" xr3:uid="{61CD0154-203B-4BC2-A73F-7AD262008267}" name="return_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A320-47A7-44E9-B22B-C1853517B423}">
  <dimension ref="A1:H14"/>
  <sheetViews>
    <sheetView tabSelected="1" zoomScaleNormal="100" workbookViewId="0">
      <selection activeCell="F18" sqref="F18"/>
    </sheetView>
  </sheetViews>
  <sheetFormatPr defaultRowHeight="14.4" x14ac:dyDescent="0.3"/>
  <cols>
    <col min="1" max="1" width="17.6640625" customWidth="1"/>
    <col min="2" max="2" width="20.21875" customWidth="1"/>
    <col min="4" max="4" width="12.109375" customWidth="1"/>
    <col min="5" max="5" width="13.6640625" customWidth="1"/>
    <col min="6" max="6" width="17.109375" customWidth="1"/>
    <col min="7" max="7" width="22.88671875" customWidth="1"/>
    <col min="8" max="8" width="32.77734375" customWidth="1"/>
  </cols>
  <sheetData>
    <row r="1" spans="1:8" x14ac:dyDescent="0.3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1</v>
      </c>
      <c r="B2" s="1" t="s">
        <v>7</v>
      </c>
      <c r="C2" s="1">
        <v>24</v>
      </c>
      <c r="D2" s="1" t="s">
        <v>8</v>
      </c>
      <c r="E2" s="1" t="s">
        <v>9</v>
      </c>
      <c r="F2" s="1" t="s">
        <v>10</v>
      </c>
      <c r="G2" s="1" t="s">
        <v>11</v>
      </c>
      <c r="H2" s="4">
        <v>45301</v>
      </c>
    </row>
    <row r="3" spans="1:8" x14ac:dyDescent="0.3">
      <c r="A3" s="1">
        <v>2</v>
      </c>
      <c r="B3" s="1" t="s">
        <v>12</v>
      </c>
      <c r="C3" s="1">
        <v>28</v>
      </c>
      <c r="D3" s="1" t="s">
        <v>13</v>
      </c>
      <c r="E3" s="1" t="s">
        <v>14</v>
      </c>
      <c r="F3" s="1" t="s">
        <v>10</v>
      </c>
      <c r="G3" s="1" t="s">
        <v>15</v>
      </c>
      <c r="H3" s="4">
        <v>45337</v>
      </c>
    </row>
    <row r="4" spans="1:8" x14ac:dyDescent="0.3">
      <c r="A4" s="1">
        <v>3</v>
      </c>
      <c r="B4" s="1" t="s">
        <v>16</v>
      </c>
      <c r="C4" s="1">
        <v>22</v>
      </c>
      <c r="D4" s="1" t="s">
        <v>8</v>
      </c>
      <c r="E4" s="1" t="s">
        <v>17</v>
      </c>
      <c r="F4" s="1" t="s">
        <v>10</v>
      </c>
      <c r="G4" s="1" t="s">
        <v>11</v>
      </c>
      <c r="H4" s="4">
        <v>45316</v>
      </c>
    </row>
    <row r="5" spans="1:8" x14ac:dyDescent="0.3">
      <c r="A5" s="1">
        <v>4</v>
      </c>
      <c r="B5" s="1" t="s">
        <v>18</v>
      </c>
      <c r="C5" s="1">
        <v>31</v>
      </c>
      <c r="D5" s="1" t="s">
        <v>13</v>
      </c>
      <c r="E5" s="1" t="s">
        <v>19</v>
      </c>
      <c r="F5" s="1" t="s">
        <v>20</v>
      </c>
      <c r="G5" s="1" t="s">
        <v>15</v>
      </c>
      <c r="H5" s="4">
        <v>45352</v>
      </c>
    </row>
    <row r="6" spans="1:8" x14ac:dyDescent="0.3">
      <c r="A6" s="1">
        <v>5</v>
      </c>
      <c r="B6" s="1" t="s">
        <v>21</v>
      </c>
      <c r="C6" s="1">
        <v>27</v>
      </c>
      <c r="D6" s="1" t="s">
        <v>8</v>
      </c>
      <c r="E6" s="1" t="s">
        <v>22</v>
      </c>
      <c r="F6" s="1" t="s">
        <v>23</v>
      </c>
      <c r="G6" s="1" t="s">
        <v>11</v>
      </c>
      <c r="H6" s="4">
        <v>45327</v>
      </c>
    </row>
    <row r="7" spans="1:8" x14ac:dyDescent="0.3">
      <c r="A7" s="1">
        <v>6</v>
      </c>
      <c r="B7" s="1" t="s">
        <v>24</v>
      </c>
      <c r="C7" s="1">
        <v>29</v>
      </c>
      <c r="D7" s="1" t="s">
        <v>13</v>
      </c>
      <c r="E7" s="1" t="s">
        <v>25</v>
      </c>
      <c r="F7" s="1" t="s">
        <v>26</v>
      </c>
      <c r="G7" s="1" t="s">
        <v>15</v>
      </c>
      <c r="H7" s="4">
        <v>45363</v>
      </c>
    </row>
    <row r="8" spans="1:8" x14ac:dyDescent="0.3">
      <c r="A8" s="1">
        <v>7</v>
      </c>
      <c r="B8" s="1" t="s">
        <v>27</v>
      </c>
      <c r="C8" s="1">
        <v>26</v>
      </c>
      <c r="D8" s="1" t="s">
        <v>8</v>
      </c>
      <c r="E8" s="1" t="s">
        <v>28</v>
      </c>
      <c r="F8" s="1" t="s">
        <v>10</v>
      </c>
      <c r="G8" s="1" t="s">
        <v>11</v>
      </c>
      <c r="H8" s="4">
        <v>45309</v>
      </c>
    </row>
    <row r="9" spans="1:8" x14ac:dyDescent="0.3">
      <c r="A9" s="1">
        <v>8</v>
      </c>
      <c r="B9" s="1" t="s">
        <v>29</v>
      </c>
      <c r="C9" s="1">
        <v>30</v>
      </c>
      <c r="D9" s="1" t="s">
        <v>13</v>
      </c>
      <c r="E9" s="1" t="s">
        <v>30</v>
      </c>
      <c r="F9" s="1" t="s">
        <v>10</v>
      </c>
      <c r="G9" s="1" t="s">
        <v>15</v>
      </c>
      <c r="H9" s="4">
        <v>45342</v>
      </c>
    </row>
    <row r="10" spans="1:8" x14ac:dyDescent="0.3">
      <c r="A10" s="1">
        <v>9</v>
      </c>
      <c r="B10" s="1" t="s">
        <v>31</v>
      </c>
      <c r="C10" s="1">
        <v>35</v>
      </c>
      <c r="D10" s="1" t="s">
        <v>8</v>
      </c>
      <c r="E10" s="1" t="s">
        <v>32</v>
      </c>
      <c r="F10" s="1" t="s">
        <v>10</v>
      </c>
      <c r="G10" s="1" t="s">
        <v>11</v>
      </c>
      <c r="H10" s="4">
        <v>45361</v>
      </c>
    </row>
    <row r="11" spans="1:8" x14ac:dyDescent="0.3">
      <c r="A11" s="1">
        <v>10</v>
      </c>
      <c r="B11" s="1" t="s">
        <v>33</v>
      </c>
      <c r="C11" s="1">
        <v>23</v>
      </c>
      <c r="D11" s="1" t="s">
        <v>13</v>
      </c>
      <c r="E11" s="1" t="s">
        <v>9</v>
      </c>
      <c r="F11" s="1" t="s">
        <v>10</v>
      </c>
      <c r="G11" s="1" t="s">
        <v>11</v>
      </c>
      <c r="H11" s="4">
        <v>45383</v>
      </c>
    </row>
    <row r="14" spans="1:8" x14ac:dyDescent="0.3">
      <c r="B14" s="8" t="s">
        <v>92</v>
      </c>
      <c r="C14" s="8">
        <f>COUNT(Table1[customer_id])</f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B369-6AAC-4B75-BDE3-20434BBF66B4}">
  <dimension ref="A1:J13"/>
  <sheetViews>
    <sheetView workbookViewId="0">
      <selection activeCell="E19" sqref="E19"/>
    </sheetView>
  </sheetViews>
  <sheetFormatPr defaultRowHeight="14.4" x14ac:dyDescent="0.3"/>
  <cols>
    <col min="1" max="1" width="15.6640625" customWidth="1"/>
    <col min="2" max="2" width="19.21875" customWidth="1"/>
    <col min="3" max="3" width="12.6640625" customWidth="1"/>
    <col min="4" max="4" width="18.33203125" customWidth="1"/>
    <col min="5" max="5" width="16.77734375" customWidth="1"/>
    <col min="6" max="6" width="17.5546875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3"/>
      <c r="H1" s="3"/>
      <c r="I1" s="3"/>
      <c r="J1" s="3"/>
    </row>
    <row r="2" spans="1:10" x14ac:dyDescent="0.3">
      <c r="A2" s="1">
        <v>101</v>
      </c>
      <c r="B2" s="1" t="s">
        <v>41</v>
      </c>
      <c r="C2" s="1" t="s">
        <v>42</v>
      </c>
      <c r="D2" s="1" t="s">
        <v>43</v>
      </c>
      <c r="E2" s="1">
        <v>75000</v>
      </c>
      <c r="F2" s="1">
        <v>50</v>
      </c>
      <c r="G2" s="3"/>
      <c r="H2" s="3"/>
      <c r="I2" s="3"/>
      <c r="J2" s="3"/>
    </row>
    <row r="3" spans="1:10" x14ac:dyDescent="0.3">
      <c r="A3" s="1">
        <v>102</v>
      </c>
      <c r="B3" s="1" t="s">
        <v>44</v>
      </c>
      <c r="C3" s="1" t="s">
        <v>42</v>
      </c>
      <c r="D3" s="1" t="s">
        <v>45</v>
      </c>
      <c r="E3" s="1">
        <v>55000</v>
      </c>
      <c r="F3" s="1">
        <v>40</v>
      </c>
      <c r="G3" s="3"/>
      <c r="H3" s="3"/>
      <c r="I3" s="3"/>
      <c r="J3" s="3"/>
    </row>
    <row r="4" spans="1:10" x14ac:dyDescent="0.3">
      <c r="A4" s="1">
        <v>103</v>
      </c>
      <c r="B4" s="1" t="s">
        <v>46</v>
      </c>
      <c r="C4" s="1" t="s">
        <v>42</v>
      </c>
      <c r="D4" s="1" t="s">
        <v>47</v>
      </c>
      <c r="E4" s="1">
        <v>35000</v>
      </c>
      <c r="F4" s="1">
        <v>30</v>
      </c>
      <c r="G4" s="3"/>
      <c r="H4" s="3"/>
      <c r="I4" s="3"/>
      <c r="J4" s="3"/>
    </row>
    <row r="5" spans="1:10" x14ac:dyDescent="0.3">
      <c r="A5" s="1">
        <v>104</v>
      </c>
      <c r="B5" s="1" t="s">
        <v>48</v>
      </c>
      <c r="C5" s="1" t="s">
        <v>49</v>
      </c>
      <c r="D5" s="1" t="s">
        <v>50</v>
      </c>
      <c r="E5" s="1">
        <v>8000</v>
      </c>
      <c r="F5" s="1">
        <v>100</v>
      </c>
      <c r="G5" s="3"/>
      <c r="H5" s="3"/>
      <c r="I5" s="3"/>
      <c r="J5" s="3"/>
    </row>
    <row r="6" spans="1:10" x14ac:dyDescent="0.3">
      <c r="A6" s="1">
        <v>105</v>
      </c>
      <c r="B6" s="1" t="s">
        <v>51</v>
      </c>
      <c r="C6" s="1" t="s">
        <v>42</v>
      </c>
      <c r="D6" s="1" t="s">
        <v>52</v>
      </c>
      <c r="E6" s="1">
        <v>12000</v>
      </c>
      <c r="F6" s="1">
        <v>60</v>
      </c>
      <c r="G6" s="3"/>
      <c r="H6" s="3"/>
      <c r="I6" s="3"/>
      <c r="J6" s="3"/>
    </row>
    <row r="7" spans="1:10" ht="28.8" x14ac:dyDescent="0.3">
      <c r="A7" s="1">
        <v>106</v>
      </c>
      <c r="B7" s="1" t="s">
        <v>53</v>
      </c>
      <c r="C7" s="1" t="s">
        <v>54</v>
      </c>
      <c r="D7" s="1" t="s">
        <v>55</v>
      </c>
      <c r="E7" s="1">
        <v>4500</v>
      </c>
      <c r="F7" s="1">
        <v>120</v>
      </c>
      <c r="G7" s="3"/>
      <c r="H7" s="3"/>
      <c r="I7" s="3"/>
      <c r="J7" s="3"/>
    </row>
    <row r="8" spans="1:10" x14ac:dyDescent="0.3">
      <c r="A8" s="1">
        <v>107</v>
      </c>
      <c r="B8" s="1" t="s">
        <v>56</v>
      </c>
      <c r="C8" s="1" t="s">
        <v>49</v>
      </c>
      <c r="D8" s="1" t="s">
        <v>57</v>
      </c>
      <c r="E8" s="1">
        <v>7000</v>
      </c>
      <c r="F8" s="1">
        <v>80</v>
      </c>
      <c r="G8" s="3"/>
      <c r="H8" s="3"/>
      <c r="I8" s="3"/>
      <c r="J8" s="3"/>
    </row>
    <row r="9" spans="1:10" ht="28.8" x14ac:dyDescent="0.3">
      <c r="A9" s="1">
        <v>108</v>
      </c>
      <c r="B9" s="1" t="s">
        <v>58</v>
      </c>
      <c r="C9" s="1" t="s">
        <v>54</v>
      </c>
      <c r="D9" s="1" t="s">
        <v>59</v>
      </c>
      <c r="E9" s="1">
        <v>2500</v>
      </c>
      <c r="F9" s="1">
        <v>150</v>
      </c>
      <c r="G9" s="3"/>
      <c r="H9" s="3"/>
      <c r="I9" s="3"/>
      <c r="J9" s="3"/>
    </row>
    <row r="10" spans="1:10" x14ac:dyDescent="0.3">
      <c r="A10" s="1">
        <v>109</v>
      </c>
      <c r="B10" s="1" t="s">
        <v>60</v>
      </c>
      <c r="C10" s="1" t="s">
        <v>61</v>
      </c>
      <c r="D10" s="1" t="s">
        <v>62</v>
      </c>
      <c r="E10" s="1">
        <v>1800</v>
      </c>
      <c r="F10" s="1">
        <v>200</v>
      </c>
      <c r="G10" s="3"/>
      <c r="H10" s="3"/>
      <c r="I10" s="3"/>
      <c r="J10" s="3"/>
    </row>
    <row r="11" spans="1:10" x14ac:dyDescent="0.3">
      <c r="A11" s="1">
        <v>110</v>
      </c>
      <c r="B11" s="1" t="s">
        <v>63</v>
      </c>
      <c r="C11" s="1" t="s">
        <v>42</v>
      </c>
      <c r="D11" s="1" t="s">
        <v>64</v>
      </c>
      <c r="E11" s="1">
        <v>3000</v>
      </c>
      <c r="F11" s="1">
        <v>140</v>
      </c>
      <c r="G11" s="3"/>
      <c r="H11" s="3"/>
      <c r="I11" s="3"/>
      <c r="J11" s="3"/>
    </row>
    <row r="13" spans="1:10" x14ac:dyDescent="0.3">
      <c r="B13" s="8" t="s">
        <v>93</v>
      </c>
      <c r="C13" s="8">
        <f>COUNT(Table2[product_id])</f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3CDA-B3CB-4886-AC59-CA1968FEAE77}">
  <dimension ref="A1:M26"/>
  <sheetViews>
    <sheetView zoomScale="97" workbookViewId="0">
      <selection activeCell="M19" sqref="M19"/>
    </sheetView>
  </sheetViews>
  <sheetFormatPr defaultRowHeight="14.4" x14ac:dyDescent="0.3"/>
  <cols>
    <col min="1" max="1" width="14.21875" customWidth="1"/>
    <col min="2" max="2" width="19.6640625" customWidth="1"/>
    <col min="3" max="3" width="16.109375" customWidth="1"/>
    <col min="4" max="4" width="16.88671875" customWidth="1"/>
    <col min="5" max="5" width="15.109375" customWidth="1"/>
    <col min="6" max="6" width="12.109375" customWidth="1"/>
    <col min="7" max="7" width="13.88671875" customWidth="1"/>
    <col min="8" max="8" width="15.33203125" customWidth="1"/>
    <col min="9" max="9" width="22" customWidth="1"/>
    <col min="10" max="10" width="22.6640625" customWidth="1"/>
    <col min="11" max="11" width="5.33203125" customWidth="1"/>
    <col min="12" max="12" width="18" customWidth="1"/>
    <col min="13" max="13" width="12.44140625" customWidth="1"/>
  </cols>
  <sheetData>
    <row r="1" spans="1:13" ht="16.2" thickBot="1" x14ac:dyDescent="0.35">
      <c r="A1" s="5" t="s">
        <v>65</v>
      </c>
      <c r="B1" s="5" t="s">
        <v>34</v>
      </c>
      <c r="C1" s="5" t="s">
        <v>35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</row>
    <row r="2" spans="1:13" ht="15.6" x14ac:dyDescent="0.3">
      <c r="A2" s="6">
        <v>1001</v>
      </c>
      <c r="B2" s="6">
        <v>1</v>
      </c>
      <c r="C2" s="6">
        <v>101</v>
      </c>
      <c r="D2" s="7">
        <v>45296</v>
      </c>
      <c r="E2" s="6">
        <v>2</v>
      </c>
      <c r="F2" s="6">
        <v>150000</v>
      </c>
      <c r="G2" s="6">
        <v>30000</v>
      </c>
      <c r="H2" s="6">
        <v>5</v>
      </c>
      <c r="I2" s="6" t="s">
        <v>73</v>
      </c>
      <c r="J2" s="6" t="s">
        <v>74</v>
      </c>
      <c r="L2" s="8" t="s">
        <v>84</v>
      </c>
      <c r="M2" s="8">
        <f>SUM(Table3[sales])</f>
        <v>759200</v>
      </c>
    </row>
    <row r="3" spans="1:13" ht="15.6" x14ac:dyDescent="0.3">
      <c r="A3" s="6">
        <v>1002</v>
      </c>
      <c r="B3" s="6">
        <v>2</v>
      </c>
      <c r="C3" s="6">
        <v>102</v>
      </c>
      <c r="D3" s="7">
        <v>45299</v>
      </c>
      <c r="E3" s="6">
        <v>2</v>
      </c>
      <c r="F3" s="6">
        <v>110000</v>
      </c>
      <c r="G3" s="6">
        <v>20000</v>
      </c>
      <c r="H3" s="6">
        <v>10</v>
      </c>
      <c r="I3" s="6" t="s">
        <v>75</v>
      </c>
      <c r="J3" s="6" t="s">
        <v>74</v>
      </c>
      <c r="L3" s="8" t="s">
        <v>85</v>
      </c>
      <c r="M3" s="8">
        <f>SUM(Table3[profit])</f>
        <v>206300</v>
      </c>
    </row>
    <row r="4" spans="1:13" ht="15.6" x14ac:dyDescent="0.3">
      <c r="A4" s="6">
        <v>1003</v>
      </c>
      <c r="B4" s="6">
        <v>3</v>
      </c>
      <c r="C4" s="6">
        <v>103</v>
      </c>
      <c r="D4" s="7">
        <v>45303</v>
      </c>
      <c r="E4" s="6">
        <v>2</v>
      </c>
      <c r="F4" s="6">
        <v>70000</v>
      </c>
      <c r="G4" s="6">
        <v>21000</v>
      </c>
      <c r="H4" s="6">
        <v>0</v>
      </c>
      <c r="I4" s="6" t="s">
        <v>76</v>
      </c>
      <c r="J4" s="6" t="s">
        <v>74</v>
      </c>
      <c r="L4" s="8" t="s">
        <v>86</v>
      </c>
      <c r="M4" s="8">
        <f>SUM(Table3[quantity])</f>
        <v>63</v>
      </c>
    </row>
    <row r="5" spans="1:13" ht="15.6" x14ac:dyDescent="0.3">
      <c r="A5" s="6">
        <v>1004</v>
      </c>
      <c r="B5" s="6">
        <v>4</v>
      </c>
      <c r="C5" s="6">
        <v>104</v>
      </c>
      <c r="D5" s="7">
        <v>45324</v>
      </c>
      <c r="E5" s="6">
        <v>3</v>
      </c>
      <c r="F5" s="6">
        <v>24000</v>
      </c>
      <c r="G5" s="6">
        <v>7500</v>
      </c>
      <c r="H5" s="6">
        <v>5</v>
      </c>
      <c r="I5" s="6" t="s">
        <v>73</v>
      </c>
      <c r="J5" s="6" t="s">
        <v>74</v>
      </c>
      <c r="L5" s="8" t="s">
        <v>87</v>
      </c>
      <c r="M5" s="8">
        <f>MAX(Table3[sales])</f>
        <v>150000</v>
      </c>
    </row>
    <row r="6" spans="1:13" ht="15.6" x14ac:dyDescent="0.3">
      <c r="A6" s="6">
        <v>1005</v>
      </c>
      <c r="B6" s="6">
        <v>5</v>
      </c>
      <c r="C6" s="6">
        <v>105</v>
      </c>
      <c r="D6" s="7">
        <v>45337</v>
      </c>
      <c r="E6" s="6">
        <v>4</v>
      </c>
      <c r="F6" s="6">
        <v>48000</v>
      </c>
      <c r="G6" s="6">
        <v>20000</v>
      </c>
      <c r="H6" s="6">
        <v>8</v>
      </c>
      <c r="I6" s="6" t="s">
        <v>75</v>
      </c>
      <c r="J6" s="6" t="s">
        <v>74</v>
      </c>
      <c r="L6" s="8" t="s">
        <v>88</v>
      </c>
      <c r="M6" s="8">
        <f>MAX(Table3[profit])</f>
        <v>30000</v>
      </c>
    </row>
    <row r="7" spans="1:13" ht="15.6" x14ac:dyDescent="0.3">
      <c r="A7" s="6">
        <v>1006</v>
      </c>
      <c r="B7" s="6">
        <v>6</v>
      </c>
      <c r="C7" s="6">
        <v>106</v>
      </c>
      <c r="D7" s="7">
        <v>45352</v>
      </c>
      <c r="E7" s="6">
        <v>5</v>
      </c>
      <c r="F7" s="6">
        <v>22500</v>
      </c>
      <c r="G7" s="6">
        <v>6000</v>
      </c>
      <c r="H7" s="6">
        <v>12</v>
      </c>
      <c r="I7" s="6" t="s">
        <v>73</v>
      </c>
      <c r="J7" s="6" t="s">
        <v>74</v>
      </c>
      <c r="L7" s="8" t="s">
        <v>89</v>
      </c>
      <c r="M7" s="8">
        <f>MIN(Table3[sales])</f>
        <v>5400</v>
      </c>
    </row>
    <row r="8" spans="1:13" ht="15.6" x14ac:dyDescent="0.3">
      <c r="A8" s="6">
        <v>1007</v>
      </c>
      <c r="B8" s="6">
        <v>7</v>
      </c>
      <c r="C8" s="6">
        <v>107</v>
      </c>
      <c r="D8" s="7">
        <v>45359</v>
      </c>
      <c r="E8" s="6">
        <v>2</v>
      </c>
      <c r="F8" s="6">
        <v>14000</v>
      </c>
      <c r="G8" s="6">
        <v>5000</v>
      </c>
      <c r="H8" s="6">
        <v>5</v>
      </c>
      <c r="I8" s="6" t="s">
        <v>76</v>
      </c>
      <c r="J8" s="6" t="s">
        <v>74</v>
      </c>
      <c r="L8" s="8" t="s">
        <v>90</v>
      </c>
      <c r="M8" s="8">
        <f>MIN(Table3[profit])</f>
        <v>2800</v>
      </c>
    </row>
    <row r="9" spans="1:13" ht="15.6" x14ac:dyDescent="0.3">
      <c r="A9" s="6">
        <v>1008</v>
      </c>
      <c r="B9" s="6">
        <v>8</v>
      </c>
      <c r="C9" s="6">
        <v>108</v>
      </c>
      <c r="D9" s="7">
        <v>45363</v>
      </c>
      <c r="E9" s="6">
        <v>5</v>
      </c>
      <c r="F9" s="6">
        <v>12500</v>
      </c>
      <c r="G9" s="6">
        <v>6500</v>
      </c>
      <c r="H9" s="6">
        <v>3</v>
      </c>
      <c r="I9" s="6" t="s">
        <v>75</v>
      </c>
      <c r="J9" s="6" t="s">
        <v>74</v>
      </c>
      <c r="L9" s="8" t="s">
        <v>91</v>
      </c>
      <c r="M9" s="8">
        <f>COUNT(Table3[order_id])</f>
        <v>20</v>
      </c>
    </row>
    <row r="10" spans="1:13" ht="15.6" x14ac:dyDescent="0.3">
      <c r="A10" s="6">
        <v>1009</v>
      </c>
      <c r="B10" s="6">
        <v>9</v>
      </c>
      <c r="C10" s="6">
        <v>109</v>
      </c>
      <c r="D10" s="7">
        <v>45383</v>
      </c>
      <c r="E10" s="6">
        <v>6</v>
      </c>
      <c r="F10" s="6">
        <v>10800</v>
      </c>
      <c r="G10" s="6">
        <v>3500</v>
      </c>
      <c r="H10" s="6">
        <v>10</v>
      </c>
      <c r="I10" s="6" t="s">
        <v>73</v>
      </c>
      <c r="J10" s="6" t="s">
        <v>77</v>
      </c>
      <c r="L10" s="8" t="s">
        <v>94</v>
      </c>
      <c r="M10" s="8">
        <f>SUMIF(Table3[[#All],[payment_mode]],"UPI",Table3[[#All],[sales]])</f>
        <v>294300</v>
      </c>
    </row>
    <row r="11" spans="1:13" ht="15.6" x14ac:dyDescent="0.3">
      <c r="A11" s="6">
        <v>1010</v>
      </c>
      <c r="B11" s="6">
        <v>10</v>
      </c>
      <c r="C11" s="6">
        <v>110</v>
      </c>
      <c r="D11" s="7">
        <v>45387</v>
      </c>
      <c r="E11" s="6">
        <v>5</v>
      </c>
      <c r="F11" s="6">
        <v>15000</v>
      </c>
      <c r="G11" s="6">
        <v>7000</v>
      </c>
      <c r="H11" s="6">
        <v>5</v>
      </c>
      <c r="I11" s="6" t="s">
        <v>76</v>
      </c>
      <c r="J11" s="6" t="s">
        <v>74</v>
      </c>
      <c r="L11" s="8" t="s">
        <v>95</v>
      </c>
      <c r="M11" s="8">
        <f>SUMIF(Table3[[#All],[payment_mode]],"Cash",Table3[[#All],[sales]])</f>
        <v>145000</v>
      </c>
    </row>
    <row r="12" spans="1:13" ht="15.6" x14ac:dyDescent="0.3">
      <c r="A12" s="6">
        <v>1011</v>
      </c>
      <c r="B12" s="6">
        <v>1</v>
      </c>
      <c r="C12" s="6">
        <v>105</v>
      </c>
      <c r="D12" s="7">
        <v>45394</v>
      </c>
      <c r="E12" s="6">
        <v>3</v>
      </c>
      <c r="F12" s="6">
        <v>36000</v>
      </c>
      <c r="G12" s="6">
        <v>12000</v>
      </c>
      <c r="H12" s="6">
        <v>5</v>
      </c>
      <c r="I12" s="6" t="s">
        <v>73</v>
      </c>
      <c r="J12" s="6" t="s">
        <v>74</v>
      </c>
      <c r="L12" s="8" t="s">
        <v>96</v>
      </c>
      <c r="M12" s="8">
        <f>SUMIF(Table3[[#All],[payment_mode]],"Card",Table3[[#All],[sales]])</f>
        <v>319900</v>
      </c>
    </row>
    <row r="13" spans="1:13" ht="15.6" x14ac:dyDescent="0.3">
      <c r="A13" s="6">
        <v>1012</v>
      </c>
      <c r="B13" s="6">
        <v>2</v>
      </c>
      <c r="C13" s="6">
        <v>101</v>
      </c>
      <c r="D13" s="7">
        <v>45402</v>
      </c>
      <c r="E13" s="6">
        <v>1</v>
      </c>
      <c r="F13" s="6">
        <v>75000</v>
      </c>
      <c r="G13" s="6">
        <v>15000</v>
      </c>
      <c r="H13" s="6">
        <v>2</v>
      </c>
      <c r="I13" s="6" t="s">
        <v>75</v>
      </c>
      <c r="J13" s="6" t="s">
        <v>74</v>
      </c>
      <c r="L13" s="8" t="s">
        <v>97</v>
      </c>
      <c r="M13" s="8">
        <f>COUNTIF(Table3[[#All],[delivery_status]],"Returned")</f>
        <v>2</v>
      </c>
    </row>
    <row r="14" spans="1:13" ht="15.6" x14ac:dyDescent="0.3">
      <c r="A14" s="6">
        <v>1013</v>
      </c>
      <c r="B14" s="6">
        <v>3</v>
      </c>
      <c r="C14" s="6">
        <v>108</v>
      </c>
      <c r="D14" s="7">
        <v>45413</v>
      </c>
      <c r="E14" s="6">
        <v>4</v>
      </c>
      <c r="F14" s="6">
        <v>10000</v>
      </c>
      <c r="G14" s="6">
        <v>4500</v>
      </c>
      <c r="H14" s="6">
        <v>0</v>
      </c>
      <c r="I14" s="6" t="s">
        <v>76</v>
      </c>
      <c r="J14" s="6" t="s">
        <v>74</v>
      </c>
    </row>
    <row r="15" spans="1:13" ht="15.6" x14ac:dyDescent="0.3">
      <c r="A15" s="6">
        <v>1014</v>
      </c>
      <c r="B15" s="6">
        <v>4</v>
      </c>
      <c r="C15" s="6">
        <v>109</v>
      </c>
      <c r="D15" s="7">
        <v>45415</v>
      </c>
      <c r="E15" s="6">
        <v>3</v>
      </c>
      <c r="F15" s="6">
        <v>5400</v>
      </c>
      <c r="G15" s="6">
        <v>2800</v>
      </c>
      <c r="H15" s="6">
        <v>5</v>
      </c>
      <c r="I15" s="6" t="s">
        <v>75</v>
      </c>
      <c r="J15" s="6" t="s">
        <v>77</v>
      </c>
    </row>
    <row r="16" spans="1:13" ht="15.6" x14ac:dyDescent="0.3">
      <c r="A16" s="6">
        <v>1015</v>
      </c>
      <c r="B16" s="6">
        <v>5</v>
      </c>
      <c r="C16" s="6">
        <v>104</v>
      </c>
      <c r="D16" s="7">
        <v>45419</v>
      </c>
      <c r="E16" s="6">
        <v>2</v>
      </c>
      <c r="F16" s="6">
        <v>16000</v>
      </c>
      <c r="G16" s="6">
        <v>5000</v>
      </c>
      <c r="H16" s="6">
        <v>4</v>
      </c>
      <c r="I16" s="6" t="s">
        <v>73</v>
      </c>
      <c r="J16" s="6" t="s">
        <v>74</v>
      </c>
    </row>
    <row r="17" spans="1:10" ht="15.6" x14ac:dyDescent="0.3">
      <c r="A17" s="6">
        <v>1016</v>
      </c>
      <c r="B17" s="6">
        <v>6</v>
      </c>
      <c r="C17" s="6">
        <v>110</v>
      </c>
      <c r="D17" s="7">
        <v>45422</v>
      </c>
      <c r="E17" s="6">
        <v>6</v>
      </c>
      <c r="F17" s="6">
        <v>18000</v>
      </c>
      <c r="G17" s="6">
        <v>8000</v>
      </c>
      <c r="H17" s="6">
        <v>6</v>
      </c>
      <c r="I17" s="6" t="s">
        <v>76</v>
      </c>
      <c r="J17" s="6" t="s">
        <v>74</v>
      </c>
    </row>
    <row r="18" spans="1:10" ht="15.6" x14ac:dyDescent="0.3">
      <c r="A18" s="6">
        <v>1017</v>
      </c>
      <c r="B18" s="6">
        <v>7</v>
      </c>
      <c r="C18" s="6">
        <v>102</v>
      </c>
      <c r="D18" s="7">
        <v>45424</v>
      </c>
      <c r="E18" s="6">
        <v>1</v>
      </c>
      <c r="F18" s="6">
        <v>55000</v>
      </c>
      <c r="G18" s="6">
        <v>10000</v>
      </c>
      <c r="H18" s="6">
        <v>5</v>
      </c>
      <c r="I18" s="6" t="s">
        <v>75</v>
      </c>
      <c r="J18" s="6" t="s">
        <v>74</v>
      </c>
    </row>
    <row r="19" spans="1:10" ht="15.6" x14ac:dyDescent="0.3">
      <c r="A19" s="6">
        <v>1018</v>
      </c>
      <c r="B19" s="6">
        <v>8</v>
      </c>
      <c r="C19" s="6">
        <v>103</v>
      </c>
      <c r="D19" s="7">
        <v>45426</v>
      </c>
      <c r="E19" s="6">
        <v>1</v>
      </c>
      <c r="F19" s="6">
        <v>35000</v>
      </c>
      <c r="G19" s="6">
        <v>12000</v>
      </c>
      <c r="H19" s="6">
        <v>0</v>
      </c>
      <c r="I19" s="6" t="s">
        <v>73</v>
      </c>
      <c r="J19" s="6" t="s">
        <v>74</v>
      </c>
    </row>
    <row r="20" spans="1:10" ht="15.6" x14ac:dyDescent="0.3">
      <c r="A20" s="6">
        <v>1019</v>
      </c>
      <c r="B20" s="6">
        <v>9</v>
      </c>
      <c r="C20" s="6">
        <v>106</v>
      </c>
      <c r="D20" s="7">
        <v>45428</v>
      </c>
      <c r="E20" s="6">
        <v>4</v>
      </c>
      <c r="F20" s="6">
        <v>18000</v>
      </c>
      <c r="G20" s="6">
        <v>6000</v>
      </c>
      <c r="H20" s="6">
        <v>7</v>
      </c>
      <c r="I20" s="6" t="s">
        <v>76</v>
      </c>
      <c r="J20" s="6" t="s">
        <v>74</v>
      </c>
    </row>
    <row r="21" spans="1:10" ht="15.6" x14ac:dyDescent="0.3">
      <c r="A21" s="6">
        <v>1020</v>
      </c>
      <c r="B21" s="6">
        <v>10</v>
      </c>
      <c r="C21" s="6">
        <v>107</v>
      </c>
      <c r="D21" s="7">
        <v>45432</v>
      </c>
      <c r="E21" s="6">
        <v>2</v>
      </c>
      <c r="F21" s="6">
        <v>14000</v>
      </c>
      <c r="G21" s="6">
        <v>4500</v>
      </c>
      <c r="H21" s="6">
        <v>5</v>
      </c>
      <c r="I21" s="6" t="s">
        <v>75</v>
      </c>
      <c r="J21" s="6" t="s">
        <v>74</v>
      </c>
    </row>
    <row r="24" spans="1:10" x14ac:dyDescent="0.3">
      <c r="D24" s="8"/>
      <c r="E24" s="8"/>
    </row>
    <row r="25" spans="1:10" x14ac:dyDescent="0.3">
      <c r="D25" s="8"/>
      <c r="E25" s="8"/>
    </row>
    <row r="26" spans="1:10" x14ac:dyDescent="0.3">
      <c r="D26" s="8"/>
      <c r="E26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60A1-B8A5-440E-9E29-70133A4EC274}">
  <dimension ref="A1:D4"/>
  <sheetViews>
    <sheetView workbookViewId="0">
      <selection activeCell="C12" sqref="C12"/>
    </sheetView>
  </sheetViews>
  <sheetFormatPr defaultRowHeight="14.4" x14ac:dyDescent="0.3"/>
  <cols>
    <col min="1" max="1" width="12.109375" customWidth="1"/>
    <col min="2" max="2" width="11.109375" customWidth="1"/>
    <col min="3" max="3" width="16.88671875" customWidth="1"/>
    <col min="4" max="4" width="19.21875" customWidth="1"/>
  </cols>
  <sheetData>
    <row r="1" spans="1:4" ht="16.2" thickBot="1" x14ac:dyDescent="0.35">
      <c r="A1" s="5" t="s">
        <v>78</v>
      </c>
      <c r="B1" s="5" t="s">
        <v>65</v>
      </c>
      <c r="C1" s="5" t="s">
        <v>79</v>
      </c>
      <c r="D1" s="5" t="s">
        <v>80</v>
      </c>
    </row>
    <row r="2" spans="1:4" ht="15.6" x14ac:dyDescent="0.3">
      <c r="A2" s="6">
        <v>1</v>
      </c>
      <c r="B2" s="6">
        <v>1009</v>
      </c>
      <c r="C2" s="7">
        <v>45392</v>
      </c>
      <c r="D2" s="6" t="s">
        <v>81</v>
      </c>
    </row>
    <row r="3" spans="1:4" ht="15.6" x14ac:dyDescent="0.3">
      <c r="A3" s="6">
        <v>2</v>
      </c>
      <c r="B3" s="6">
        <v>1014</v>
      </c>
      <c r="C3" s="7">
        <v>45420</v>
      </c>
      <c r="D3" s="6" t="s">
        <v>82</v>
      </c>
    </row>
    <row r="4" spans="1:4" ht="15.6" x14ac:dyDescent="0.3">
      <c r="A4" s="6">
        <v>3</v>
      </c>
      <c r="B4" s="6">
        <v>1005</v>
      </c>
      <c r="C4" s="7">
        <v>45342</v>
      </c>
      <c r="D4" s="6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7FFB-5F54-4E1C-B6A2-CE2C0E3C2B59}">
  <dimension ref="A1:B6"/>
  <sheetViews>
    <sheetView workbookViewId="0">
      <selection activeCell="O9" sqref="O9"/>
    </sheetView>
  </sheetViews>
  <sheetFormatPr defaultRowHeight="14.4" x14ac:dyDescent="0.3"/>
  <cols>
    <col min="1" max="1" width="12.5546875" bestFit="1" customWidth="1"/>
    <col min="2" max="2" width="18" bestFit="1" customWidth="1"/>
    <col min="3" max="3" width="20.21875" bestFit="1" customWidth="1"/>
  </cols>
  <sheetData>
    <row r="1" spans="1:2" x14ac:dyDescent="0.3">
      <c r="A1" s="9" t="s">
        <v>98</v>
      </c>
      <c r="B1" t="s">
        <v>100</v>
      </c>
    </row>
    <row r="2" spans="1:2" x14ac:dyDescent="0.3">
      <c r="A2" s="10" t="s">
        <v>54</v>
      </c>
      <c r="B2" s="11">
        <v>7000</v>
      </c>
    </row>
    <row r="3" spans="1:2" x14ac:dyDescent="0.3">
      <c r="A3" s="10" t="s">
        <v>61</v>
      </c>
      <c r="B3" s="11">
        <v>1800</v>
      </c>
    </row>
    <row r="4" spans="1:2" x14ac:dyDescent="0.3">
      <c r="A4" s="10" t="s">
        <v>42</v>
      </c>
      <c r="B4" s="11">
        <v>180000</v>
      </c>
    </row>
    <row r="5" spans="1:2" x14ac:dyDescent="0.3">
      <c r="A5" s="10" t="s">
        <v>49</v>
      </c>
      <c r="B5" s="11">
        <v>15000</v>
      </c>
    </row>
    <row r="6" spans="1:2" x14ac:dyDescent="0.3">
      <c r="A6" s="10" t="s">
        <v>99</v>
      </c>
      <c r="B6" s="11">
        <v>203800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Records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kr1079005@outlook.com</cp:lastModifiedBy>
  <dcterms:created xsi:type="dcterms:W3CDTF">2026-05-11T12:40:04Z</dcterms:created>
  <dcterms:modified xsi:type="dcterms:W3CDTF">2026-05-11T13:39:01Z</dcterms:modified>
</cp:coreProperties>
</file>